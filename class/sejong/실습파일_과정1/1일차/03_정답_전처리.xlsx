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리결과" sheetId="1" state="visible" r:id="rId1"/>
    <sheet xmlns:r="http://schemas.openxmlformats.org/officeDocument/2006/relationships" name="수식안내_구버전_신버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273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회원번호</t>
        </is>
      </c>
      <c r="B1" s="1" t="inlineStr">
        <is>
          <t>이름</t>
        </is>
      </c>
      <c r="C1" s="1" t="inlineStr">
        <is>
          <t>성별(정리)</t>
        </is>
      </c>
      <c r="D1" s="1" t="inlineStr">
        <is>
          <t>가입일(정리)</t>
        </is>
      </c>
      <c r="E1" s="1" t="inlineStr">
        <is>
          <t>지점(정리)</t>
        </is>
      </c>
      <c r="F1" s="1" t="inlineStr">
        <is>
          <t>구매금액(정리)</t>
        </is>
      </c>
      <c r="G1" s="1" t="inlineStr">
        <is>
          <t>최근구매상품(정리)</t>
        </is>
      </c>
    </row>
    <row r="2">
      <c r="A2" t="inlineStr">
        <is>
          <t>M0001</t>
        </is>
      </c>
      <c r="B2" t="inlineStr">
        <is>
          <t>서수빈</t>
        </is>
      </c>
      <c r="C2" t="inlineStr">
        <is>
          <t>여</t>
        </is>
      </c>
      <c r="D2" s="2" t="n">
        <v>46108</v>
      </c>
      <c r="E2" t="inlineStr">
        <is>
          <t>청주가경점</t>
        </is>
      </c>
      <c r="F2" s="3" t="n">
        <v>247100</v>
      </c>
      <c r="G2" t="inlineStr">
        <is>
          <t>유기농 김 세트</t>
        </is>
      </c>
    </row>
    <row r="3">
      <c r="A3" t="inlineStr">
        <is>
          <t>M0002</t>
        </is>
      </c>
      <c r="B3" t="inlineStr">
        <is>
          <t>김준영</t>
        </is>
      </c>
      <c r="C3" t="inlineStr">
        <is>
          <t>남</t>
        </is>
      </c>
      <c r="D3" s="2" t="n">
        <v>46189</v>
      </c>
      <c r="E3" t="inlineStr">
        <is>
          <t>대전둔산점</t>
        </is>
      </c>
      <c r="F3" s="3" t="n">
        <v>962200</v>
      </c>
      <c r="G3" t="inlineStr">
        <is>
          <t>유기농 김 세트</t>
        </is>
      </c>
    </row>
    <row r="4">
      <c r="A4" t="inlineStr">
        <is>
          <t>M0003</t>
        </is>
      </c>
      <c r="B4" t="inlineStr">
        <is>
          <t>서현우</t>
        </is>
      </c>
      <c r="C4" t="inlineStr">
        <is>
          <t>남</t>
        </is>
      </c>
      <c r="D4" s="2" t="n">
        <v>46095</v>
      </c>
      <c r="E4" t="inlineStr">
        <is>
          <t>세종보람점</t>
        </is>
      </c>
      <c r="F4" s="3" t="n">
        <v>1048300</v>
      </c>
      <c r="G4" t="inlineStr">
        <is>
          <t>한우육포 200g</t>
        </is>
      </c>
    </row>
    <row r="5">
      <c r="A5" t="inlineStr">
        <is>
          <t>M0004</t>
        </is>
      </c>
      <c r="B5" t="inlineStr">
        <is>
          <t>최성민</t>
        </is>
      </c>
      <c r="C5" t="inlineStr">
        <is>
          <t>여</t>
        </is>
      </c>
      <c r="D5" s="2" t="n">
        <v>46137</v>
      </c>
      <c r="E5" t="inlineStr">
        <is>
          <t>서울강남점</t>
        </is>
      </c>
      <c r="F5" s="3" t="n">
        <v>565700</v>
      </c>
      <c r="G5" t="inlineStr">
        <is>
          <t>유기농 김 세트</t>
        </is>
      </c>
    </row>
    <row r="6">
      <c r="A6" t="inlineStr">
        <is>
          <t>M0005</t>
        </is>
      </c>
      <c r="B6" t="inlineStr">
        <is>
          <t>박서연</t>
        </is>
      </c>
      <c r="C6" t="inlineStr">
        <is>
          <t>남</t>
        </is>
      </c>
      <c r="D6" s="2" t="n">
        <v>46166</v>
      </c>
      <c r="E6" t="inlineStr">
        <is>
          <t>세종보람점</t>
        </is>
      </c>
      <c r="F6" s="3" t="n">
        <v>256600</v>
      </c>
      <c r="G6" t="inlineStr">
        <is>
          <t>냉동만두 1.2kg</t>
        </is>
      </c>
    </row>
    <row r="7">
      <c r="A7" t="inlineStr">
        <is>
          <t>M0006</t>
        </is>
      </c>
      <c r="B7" t="inlineStr">
        <is>
          <t>김재현</t>
        </is>
      </c>
      <c r="C7" t="inlineStr">
        <is>
          <t>남</t>
        </is>
      </c>
      <c r="D7" s="2" t="n">
        <v>46276</v>
      </c>
      <c r="E7" t="inlineStr">
        <is>
          <t>서울강남점</t>
        </is>
      </c>
      <c r="F7" s="3" t="n">
        <v>758200</v>
      </c>
      <c r="G7" t="inlineStr">
        <is>
          <t>냉동만두 1.2kg</t>
        </is>
      </c>
    </row>
    <row r="8">
      <c r="A8" t="inlineStr">
        <is>
          <t>M0007</t>
        </is>
      </c>
      <c r="B8" t="inlineStr">
        <is>
          <t>강유진</t>
        </is>
      </c>
      <c r="C8" t="inlineStr">
        <is>
          <t>남</t>
        </is>
      </c>
      <c r="D8" s="2" t="n">
        <v>46236</v>
      </c>
      <c r="E8" t="inlineStr">
        <is>
          <t>대전둔산점</t>
        </is>
      </c>
      <c r="F8" s="3" t="n">
        <v>452800</v>
      </c>
      <c r="G8" t="inlineStr">
        <is>
          <t>참기름 선물세트</t>
        </is>
      </c>
    </row>
    <row r="9">
      <c r="A9" t="inlineStr">
        <is>
          <t>M0008</t>
        </is>
      </c>
      <c r="B9" t="inlineStr">
        <is>
          <t>조채원</t>
        </is>
      </c>
      <c r="C9" t="inlineStr">
        <is>
          <t>남</t>
        </is>
      </c>
      <c r="D9" s="2" t="n">
        <v>46259</v>
      </c>
      <c r="E9" t="inlineStr">
        <is>
          <t>서울강남점</t>
        </is>
      </c>
      <c r="F9" s="3" t="n">
        <v>500400</v>
      </c>
      <c r="G9" t="inlineStr">
        <is>
          <t>견과류 믹스 1kg</t>
        </is>
      </c>
    </row>
    <row r="10">
      <c r="A10" t="inlineStr">
        <is>
          <t>M0009</t>
        </is>
      </c>
      <c r="B10" t="inlineStr">
        <is>
          <t>장재현</t>
        </is>
      </c>
      <c r="C10" t="inlineStr">
        <is>
          <t>남</t>
        </is>
      </c>
      <c r="D10" s="2" t="n">
        <v>46093</v>
      </c>
      <c r="E10" t="inlineStr">
        <is>
          <t>세종보람점</t>
        </is>
      </c>
      <c r="F10" s="3" t="n">
        <v>565300</v>
      </c>
      <c r="G10" t="inlineStr">
        <is>
          <t>전통 조청 500g</t>
        </is>
      </c>
    </row>
    <row r="11">
      <c r="A11" t="inlineStr">
        <is>
          <t>M0010</t>
        </is>
      </c>
      <c r="B11" t="inlineStr">
        <is>
          <t>한미나</t>
        </is>
      </c>
      <c r="C11" t="inlineStr">
        <is>
          <t>여</t>
        </is>
      </c>
      <c r="D11" s="2" t="n">
        <v>46157</v>
      </c>
      <c r="E11" t="inlineStr">
        <is>
          <t>서울강남점</t>
        </is>
      </c>
      <c r="F11" s="3" t="n">
        <v>774300</v>
      </c>
      <c r="G11" t="inlineStr">
        <is>
          <t>견과류 믹스 1kg</t>
        </is>
      </c>
    </row>
    <row r="12">
      <c r="A12" t="inlineStr">
        <is>
          <t>M0011</t>
        </is>
      </c>
      <c r="B12" t="inlineStr">
        <is>
          <t>최예린</t>
        </is>
      </c>
      <c r="C12" t="inlineStr">
        <is>
          <t>여</t>
        </is>
      </c>
      <c r="D12" s="2" t="n">
        <v>46163</v>
      </c>
      <c r="E12" t="inlineStr">
        <is>
          <t>세종보람점</t>
        </is>
      </c>
      <c r="F12" s="3" t="n">
        <v>290900</v>
      </c>
      <c r="G12" t="inlineStr">
        <is>
          <t>견과류 믹스 1kg</t>
        </is>
      </c>
    </row>
    <row r="13">
      <c r="A13" t="inlineStr">
        <is>
          <t>M0012</t>
        </is>
      </c>
      <c r="B13" t="inlineStr">
        <is>
          <t>이성민</t>
        </is>
      </c>
      <c r="C13" t="inlineStr">
        <is>
          <t>남</t>
        </is>
      </c>
      <c r="D13" s="2" t="n">
        <v>46252</v>
      </c>
      <c r="E13" t="inlineStr">
        <is>
          <t>대전둔산점</t>
        </is>
      </c>
      <c r="F13" s="3" t="n">
        <v>784000</v>
      </c>
      <c r="G13" t="inlineStr">
        <is>
          <t>견과류 믹스 1kg</t>
        </is>
      </c>
    </row>
    <row r="14">
      <c r="A14" t="inlineStr">
        <is>
          <t>M0013</t>
        </is>
      </c>
      <c r="B14" t="inlineStr">
        <is>
          <t>강미나</t>
        </is>
      </c>
      <c r="C14" t="inlineStr">
        <is>
          <t>여</t>
        </is>
      </c>
      <c r="D14" s="2" t="n">
        <v>46147</v>
      </c>
      <c r="E14" t="inlineStr">
        <is>
          <t>서울강남점</t>
        </is>
      </c>
      <c r="F14" s="3" t="n">
        <v>215500</v>
      </c>
      <c r="G14" t="inlineStr">
        <is>
          <t>전통 조청 500g</t>
        </is>
      </c>
    </row>
    <row r="15">
      <c r="A15" t="inlineStr">
        <is>
          <t>M0014</t>
        </is>
      </c>
      <c r="B15" t="inlineStr">
        <is>
          <t>신지훈</t>
        </is>
      </c>
      <c r="C15" t="inlineStr">
        <is>
          <t>여</t>
        </is>
      </c>
      <c r="D15" s="2" t="n">
        <v>46067</v>
      </c>
      <c r="E15" t="inlineStr">
        <is>
          <t>청주가경점</t>
        </is>
      </c>
      <c r="F15" s="3" t="n">
        <v>906100</v>
      </c>
      <c r="G15" t="inlineStr">
        <is>
          <t>한우육포 200g</t>
        </is>
      </c>
    </row>
    <row r="16">
      <c r="A16" t="inlineStr">
        <is>
          <t>M0015</t>
        </is>
      </c>
      <c r="B16" t="inlineStr">
        <is>
          <t>임예린</t>
        </is>
      </c>
      <c r="C16" t="inlineStr">
        <is>
          <t>여</t>
        </is>
      </c>
      <c r="D16" s="2" t="n">
        <v>46029</v>
      </c>
      <c r="E16" t="inlineStr">
        <is>
          <t>서울강남점</t>
        </is>
      </c>
      <c r="F16" s="3" t="n">
        <v>1064800</v>
      </c>
      <c r="G16" t="inlineStr">
        <is>
          <t>전통 조청 500g</t>
        </is>
      </c>
    </row>
    <row r="17">
      <c r="A17" t="inlineStr">
        <is>
          <t>M0016</t>
        </is>
      </c>
      <c r="B17" t="inlineStr">
        <is>
          <t>박현우</t>
        </is>
      </c>
      <c r="C17" t="inlineStr">
        <is>
          <t>여</t>
        </is>
      </c>
      <c r="D17" s="2" t="n">
        <v>46274</v>
      </c>
      <c r="E17" t="inlineStr">
        <is>
          <t>청주가경점</t>
        </is>
      </c>
      <c r="F17" s="3" t="n">
        <v>917600</v>
      </c>
      <c r="G17" t="inlineStr">
        <is>
          <t>참기름 선물세트</t>
        </is>
      </c>
    </row>
    <row r="18">
      <c r="A18" t="inlineStr">
        <is>
          <t>M0017</t>
        </is>
      </c>
      <c r="B18" t="inlineStr">
        <is>
          <t>오예린</t>
        </is>
      </c>
      <c r="C18" t="inlineStr">
        <is>
          <t>남</t>
        </is>
      </c>
      <c r="D18" s="2" t="n">
        <v>46224</v>
      </c>
      <c r="E18" t="inlineStr">
        <is>
          <t>청주가경점</t>
        </is>
      </c>
      <c r="F18" s="3" t="n">
        <v>339800</v>
      </c>
      <c r="G18" t="inlineStr">
        <is>
          <t>냉동만두 1.2kg</t>
        </is>
      </c>
    </row>
    <row r="19">
      <c r="A19" t="inlineStr">
        <is>
          <t>M0018</t>
        </is>
      </c>
      <c r="B19" t="inlineStr">
        <is>
          <t>한태양</t>
        </is>
      </c>
      <c r="C19" t="inlineStr">
        <is>
          <t>남</t>
        </is>
      </c>
      <c r="D19" s="2" t="n">
        <v>46306</v>
      </c>
      <c r="E19" t="inlineStr">
        <is>
          <t>세종보람점</t>
        </is>
      </c>
      <c r="F19" s="3" t="n">
        <v>711400</v>
      </c>
      <c r="G19" t="inlineStr">
        <is>
          <t>견과류 믹스 1kg</t>
        </is>
      </c>
    </row>
    <row r="20">
      <c r="A20" t="inlineStr">
        <is>
          <t>M0019</t>
        </is>
      </c>
      <c r="B20" t="inlineStr">
        <is>
          <t>조도윤</t>
        </is>
      </c>
      <c r="C20" t="inlineStr">
        <is>
          <t>남</t>
        </is>
      </c>
      <c r="D20" s="2" t="n">
        <v>46320</v>
      </c>
      <c r="E20" t="inlineStr">
        <is>
          <t>청주가경점</t>
        </is>
      </c>
      <c r="F20" s="3" t="n">
        <v>705900</v>
      </c>
      <c r="G20" t="inlineStr">
        <is>
          <t>견과류 믹스 1kg</t>
        </is>
      </c>
    </row>
    <row r="21">
      <c r="A21" t="inlineStr">
        <is>
          <t>M0020</t>
        </is>
      </c>
      <c r="B21" t="inlineStr">
        <is>
          <t>윤나윤</t>
        </is>
      </c>
      <c r="C21" t="inlineStr">
        <is>
          <t>남</t>
        </is>
      </c>
      <c r="D21" s="2" t="n">
        <v>46057</v>
      </c>
      <c r="E21" t="inlineStr">
        <is>
          <t>세종보람점</t>
        </is>
      </c>
      <c r="F21" s="3" t="n">
        <v>607400</v>
      </c>
      <c r="G21" t="inlineStr">
        <is>
          <t>유기농 김 세트</t>
        </is>
      </c>
    </row>
    <row r="22">
      <c r="A22" t="inlineStr">
        <is>
          <t>M0021</t>
        </is>
      </c>
      <c r="B22" t="inlineStr">
        <is>
          <t>김나윤</t>
        </is>
      </c>
      <c r="C22" t="inlineStr">
        <is>
          <t>여</t>
        </is>
      </c>
      <c r="D22" s="2" t="n">
        <v>46226</v>
      </c>
      <c r="E22" t="inlineStr">
        <is>
          <t>청주가경점</t>
        </is>
      </c>
      <c r="F22" s="3" t="n">
        <v>526900</v>
      </c>
      <c r="G22" t="inlineStr">
        <is>
          <t>견과류 믹스 1kg</t>
        </is>
      </c>
    </row>
    <row r="23">
      <c r="A23" t="inlineStr">
        <is>
          <t>M0022</t>
        </is>
      </c>
      <c r="B23" t="inlineStr">
        <is>
          <t>임동현</t>
        </is>
      </c>
      <c r="C23" t="inlineStr">
        <is>
          <t>여</t>
        </is>
      </c>
      <c r="D23" s="2" t="n">
        <v>46320</v>
      </c>
      <c r="E23" t="inlineStr">
        <is>
          <t>대전둔산점</t>
        </is>
      </c>
      <c r="F23" s="3" t="n">
        <v>750400</v>
      </c>
      <c r="G23" t="inlineStr">
        <is>
          <t>냉동만두 1.2kg</t>
        </is>
      </c>
    </row>
    <row r="24">
      <c r="A24" t="inlineStr">
        <is>
          <t>M0023</t>
        </is>
      </c>
      <c r="B24" t="inlineStr">
        <is>
          <t>이예린</t>
        </is>
      </c>
      <c r="C24" t="inlineStr">
        <is>
          <t>남</t>
        </is>
      </c>
      <c r="D24" s="2" t="n">
        <v>46242</v>
      </c>
      <c r="E24" t="inlineStr">
        <is>
          <t>세종보람점</t>
        </is>
      </c>
      <c r="F24" s="3" t="n">
        <v>596400</v>
      </c>
      <c r="G24" t="inlineStr">
        <is>
          <t>참기름 선물세트</t>
        </is>
      </c>
    </row>
    <row r="25">
      <c r="A25" t="inlineStr">
        <is>
          <t>M0024</t>
        </is>
      </c>
      <c r="B25" t="inlineStr">
        <is>
          <t>서경수</t>
        </is>
      </c>
      <c r="C25" t="inlineStr">
        <is>
          <t>여</t>
        </is>
      </c>
      <c r="D25" s="2" t="n">
        <v>46244</v>
      </c>
      <c r="E25" t="inlineStr">
        <is>
          <t>청주가경점</t>
        </is>
      </c>
      <c r="F25" s="3" t="n">
        <v>757400</v>
      </c>
      <c r="G25" t="inlineStr">
        <is>
          <t>한우육포 200g</t>
        </is>
      </c>
    </row>
    <row r="26">
      <c r="A26" t="inlineStr">
        <is>
          <t>M0025</t>
        </is>
      </c>
      <c r="B26" t="inlineStr">
        <is>
          <t>권태양</t>
        </is>
      </c>
      <c r="C26" t="inlineStr">
        <is>
          <t>남</t>
        </is>
      </c>
      <c r="D26" s="2" t="n">
        <v>46055</v>
      </c>
      <c r="E26" t="inlineStr">
        <is>
          <t>서울강남점</t>
        </is>
      </c>
      <c r="F26" s="3" t="n">
        <v>1073100</v>
      </c>
      <c r="G26" t="inlineStr">
        <is>
          <t>한우육포 200g</t>
        </is>
      </c>
    </row>
    <row r="27">
      <c r="A27" t="inlineStr">
        <is>
          <t>M0026</t>
        </is>
      </c>
      <c r="B27" t="inlineStr">
        <is>
          <t>조채원</t>
        </is>
      </c>
      <c r="C27" t="inlineStr">
        <is>
          <t>여</t>
        </is>
      </c>
      <c r="D27" s="2" t="n">
        <v>46194</v>
      </c>
      <c r="E27" t="inlineStr">
        <is>
          <t>대전둔산점</t>
        </is>
      </c>
      <c r="F27" s="3" t="n">
        <v>574700</v>
      </c>
      <c r="G27" t="inlineStr">
        <is>
          <t>견과류 믹스 1kg</t>
        </is>
      </c>
    </row>
    <row r="28">
      <c r="A28" t="inlineStr">
        <is>
          <t>M0027</t>
        </is>
      </c>
      <c r="B28" t="inlineStr">
        <is>
          <t>신민수</t>
        </is>
      </c>
      <c r="C28" t="inlineStr">
        <is>
          <t>남</t>
        </is>
      </c>
      <c r="D28" s="2" t="n">
        <v>46199</v>
      </c>
      <c r="E28" t="inlineStr">
        <is>
          <t>세종보람점</t>
        </is>
      </c>
      <c r="F28" s="3" t="n">
        <v>390200</v>
      </c>
      <c r="G28" t="inlineStr">
        <is>
          <t>유기농 김 세트</t>
        </is>
      </c>
    </row>
    <row r="29">
      <c r="A29" t="inlineStr">
        <is>
          <t>M0028</t>
        </is>
      </c>
      <c r="B29" t="inlineStr">
        <is>
          <t>장경수</t>
        </is>
      </c>
      <c r="C29" t="inlineStr">
        <is>
          <t>남</t>
        </is>
      </c>
      <c r="D29" s="2" t="n">
        <v>46216</v>
      </c>
      <c r="E29" t="inlineStr">
        <is>
          <t>서울강남점</t>
        </is>
      </c>
      <c r="F29" s="3" t="n">
        <v>893300</v>
      </c>
      <c r="G29" t="inlineStr">
        <is>
          <t>참기름 선물세트</t>
        </is>
      </c>
    </row>
    <row r="30">
      <c r="A30" t="inlineStr">
        <is>
          <t>M0029</t>
        </is>
      </c>
      <c r="B30" t="inlineStr">
        <is>
          <t>오성민</t>
        </is>
      </c>
      <c r="C30" t="inlineStr">
        <is>
          <t>남</t>
        </is>
      </c>
      <c r="D30" s="2" t="n">
        <v>46067</v>
      </c>
      <c r="E30" t="inlineStr">
        <is>
          <t>대전둔산점</t>
        </is>
      </c>
      <c r="F30" s="3" t="n">
        <v>686400</v>
      </c>
      <c r="G30" t="inlineStr">
        <is>
          <t>참기름 선물세트</t>
        </is>
      </c>
    </row>
    <row r="31">
      <c r="A31" t="inlineStr">
        <is>
          <t>M0030</t>
        </is>
      </c>
      <c r="B31" t="inlineStr">
        <is>
          <t>김소율</t>
        </is>
      </c>
      <c r="C31" t="inlineStr">
        <is>
          <t>여</t>
        </is>
      </c>
      <c r="D31" s="2" t="n">
        <v>46147</v>
      </c>
      <c r="E31" t="inlineStr">
        <is>
          <t>청주가경점</t>
        </is>
      </c>
      <c r="F31" s="3" t="n">
        <v>620700</v>
      </c>
      <c r="G31" t="inlineStr">
        <is>
          <t>한우육포 200g</t>
        </is>
      </c>
    </row>
    <row r="32">
      <c r="A32" t="inlineStr">
        <is>
          <t>M0031</t>
        </is>
      </c>
      <c r="B32" t="inlineStr">
        <is>
          <t>정수빈</t>
        </is>
      </c>
      <c r="C32" t="inlineStr">
        <is>
          <t>남</t>
        </is>
      </c>
      <c r="D32" s="2" t="n">
        <v>46149</v>
      </c>
      <c r="E32" t="inlineStr">
        <is>
          <t>대전둔산점</t>
        </is>
      </c>
      <c r="F32" s="3" t="n">
        <v>511600</v>
      </c>
      <c r="G32" t="inlineStr">
        <is>
          <t>참기름 선물세트</t>
        </is>
      </c>
    </row>
    <row r="33">
      <c r="A33" t="inlineStr">
        <is>
          <t>M0032</t>
        </is>
      </c>
      <c r="B33" t="inlineStr">
        <is>
          <t>임유진</t>
        </is>
      </c>
      <c r="C33" t="inlineStr">
        <is>
          <t>남</t>
        </is>
      </c>
      <c r="D33" s="2" t="n">
        <v>46271</v>
      </c>
      <c r="E33" t="inlineStr">
        <is>
          <t>청주가경점</t>
        </is>
      </c>
      <c r="F33" s="3" t="n">
        <v>339700</v>
      </c>
      <c r="G33" t="inlineStr">
        <is>
          <t>한우육포 200g</t>
        </is>
      </c>
    </row>
    <row r="34">
      <c r="A34" t="inlineStr">
        <is>
          <t>M0033</t>
        </is>
      </c>
      <c r="B34" t="inlineStr">
        <is>
          <t>권하은</t>
        </is>
      </c>
      <c r="C34" t="inlineStr">
        <is>
          <t>여</t>
        </is>
      </c>
      <c r="D34" s="2" t="n">
        <v>46072</v>
      </c>
      <c r="E34" t="inlineStr">
        <is>
          <t>세종보람점</t>
        </is>
      </c>
      <c r="F34" s="3" t="n">
        <v>1129100</v>
      </c>
      <c r="G34" t="inlineStr">
        <is>
          <t>한우육포 200g</t>
        </is>
      </c>
    </row>
    <row r="35">
      <c r="A35" t="inlineStr">
        <is>
          <t>M0034</t>
        </is>
      </c>
      <c r="B35" t="inlineStr">
        <is>
          <t>임성민</t>
        </is>
      </c>
      <c r="C35" t="inlineStr">
        <is>
          <t>남</t>
        </is>
      </c>
      <c r="D35" s="2" t="n">
        <v>46083</v>
      </c>
      <c r="E35" t="inlineStr">
        <is>
          <t>대전둔산점</t>
        </is>
      </c>
      <c r="F35" s="3" t="n">
        <v>220800</v>
      </c>
      <c r="G35" t="inlineStr">
        <is>
          <t>견과류 믹스 1kg</t>
        </is>
      </c>
    </row>
    <row r="36">
      <c r="A36" t="inlineStr">
        <is>
          <t>M0035</t>
        </is>
      </c>
      <c r="B36" t="inlineStr">
        <is>
          <t>오준영</t>
        </is>
      </c>
      <c r="C36" t="inlineStr">
        <is>
          <t>남</t>
        </is>
      </c>
      <c r="D36" s="2" t="n">
        <v>46041</v>
      </c>
      <c r="E36" t="inlineStr">
        <is>
          <t>대전둔산점</t>
        </is>
      </c>
      <c r="F36" s="3" t="n">
        <v>671900</v>
      </c>
      <c r="G36" t="inlineStr">
        <is>
          <t>견과류 믹스 1kg</t>
        </is>
      </c>
    </row>
    <row r="37">
      <c r="A37" t="inlineStr">
        <is>
          <t>M0036</t>
        </is>
      </c>
      <c r="B37" t="inlineStr">
        <is>
          <t>권예린</t>
        </is>
      </c>
      <c r="C37" t="inlineStr">
        <is>
          <t>여</t>
        </is>
      </c>
      <c r="D37" s="2" t="n">
        <v>46192</v>
      </c>
      <c r="E37" t="inlineStr">
        <is>
          <t>청주가경점</t>
        </is>
      </c>
      <c r="F37" s="3" t="n">
        <v>634800</v>
      </c>
      <c r="G37" t="inlineStr">
        <is>
          <t>견과류 믹스 1kg</t>
        </is>
      </c>
    </row>
    <row r="38">
      <c r="A38" t="inlineStr">
        <is>
          <t>M0037</t>
        </is>
      </c>
      <c r="B38" t="inlineStr">
        <is>
          <t>정유진</t>
        </is>
      </c>
      <c r="C38" t="inlineStr">
        <is>
          <t>여</t>
        </is>
      </c>
      <c r="D38" s="2" t="n">
        <v>46064</v>
      </c>
      <c r="E38" t="inlineStr">
        <is>
          <t>세종보람점</t>
        </is>
      </c>
      <c r="F38" s="3" t="n">
        <v>241800</v>
      </c>
      <c r="G38" t="inlineStr">
        <is>
          <t>한우육포 200g</t>
        </is>
      </c>
    </row>
    <row r="39">
      <c r="A39" t="inlineStr">
        <is>
          <t>M0038</t>
        </is>
      </c>
      <c r="B39" t="inlineStr">
        <is>
          <t>한도윤</t>
        </is>
      </c>
      <c r="C39" t="inlineStr">
        <is>
          <t>남</t>
        </is>
      </c>
      <c r="D39" s="2" t="n">
        <v>46095</v>
      </c>
      <c r="E39" t="inlineStr">
        <is>
          <t>청주가경점</t>
        </is>
      </c>
      <c r="F39" s="3" t="n">
        <v>1109000</v>
      </c>
      <c r="G39" t="inlineStr">
        <is>
          <t>견과류 믹스 1kg</t>
        </is>
      </c>
    </row>
    <row r="40">
      <c r="A40" t="inlineStr">
        <is>
          <t>M0039</t>
        </is>
      </c>
      <c r="B40" t="inlineStr">
        <is>
          <t>정하은</t>
        </is>
      </c>
      <c r="C40" t="inlineStr">
        <is>
          <t>남</t>
        </is>
      </c>
      <c r="D40" s="2" t="n">
        <v>46192</v>
      </c>
      <c r="E40" t="inlineStr">
        <is>
          <t>서울강남점</t>
        </is>
      </c>
      <c r="F40" s="3" t="n">
        <v>196200</v>
      </c>
      <c r="G40" t="inlineStr">
        <is>
          <t>유기농 김 세트</t>
        </is>
      </c>
    </row>
    <row r="41">
      <c r="A41" t="inlineStr">
        <is>
          <t>M0040</t>
        </is>
      </c>
      <c r="B41" t="inlineStr">
        <is>
          <t>박미나</t>
        </is>
      </c>
      <c r="C41" t="inlineStr">
        <is>
          <t>남</t>
        </is>
      </c>
      <c r="D41" s="2" t="n">
        <v>46106</v>
      </c>
      <c r="E41" t="inlineStr">
        <is>
          <t>대전둔산점</t>
        </is>
      </c>
      <c r="F41" s="3" t="n">
        <v>876800</v>
      </c>
      <c r="G41" t="inlineStr">
        <is>
          <t>견과류 믹스 1kg</t>
        </is>
      </c>
    </row>
    <row r="42">
      <c r="A42" t="inlineStr">
        <is>
          <t>M0041</t>
        </is>
      </c>
      <c r="B42" t="inlineStr">
        <is>
          <t>강태양</t>
        </is>
      </c>
      <c r="C42" t="inlineStr">
        <is>
          <t>남</t>
        </is>
      </c>
      <c r="D42" s="2" t="n">
        <v>46298</v>
      </c>
      <c r="E42" t="inlineStr">
        <is>
          <t>세종보람점</t>
        </is>
      </c>
      <c r="F42" s="3" t="n">
        <v>296000</v>
      </c>
      <c r="G42" t="inlineStr">
        <is>
          <t>한우육포 200g</t>
        </is>
      </c>
    </row>
    <row r="43">
      <c r="A43" t="inlineStr">
        <is>
          <t>M0042</t>
        </is>
      </c>
      <c r="B43" t="inlineStr">
        <is>
          <t>조예린</t>
        </is>
      </c>
      <c r="C43" t="inlineStr">
        <is>
          <t>남</t>
        </is>
      </c>
      <c r="D43" s="2" t="n">
        <v>46228</v>
      </c>
      <c r="E43" t="inlineStr">
        <is>
          <t>대전둔산점</t>
        </is>
      </c>
      <c r="F43" s="3" t="n">
        <v>407800</v>
      </c>
      <c r="G43" t="inlineStr">
        <is>
          <t>견과류 믹스 1kg</t>
        </is>
      </c>
    </row>
    <row r="44">
      <c r="A44" t="inlineStr">
        <is>
          <t>M0043</t>
        </is>
      </c>
      <c r="B44" t="inlineStr">
        <is>
          <t>박도윤</t>
        </is>
      </c>
      <c r="C44" t="inlineStr">
        <is>
          <t>여</t>
        </is>
      </c>
      <c r="D44" s="2" t="n">
        <v>46102</v>
      </c>
      <c r="E44" t="inlineStr">
        <is>
          <t>세종보람점</t>
        </is>
      </c>
      <c r="F44" s="3" t="n">
        <v>670500</v>
      </c>
      <c r="G44" t="inlineStr">
        <is>
          <t>전통 조청 500g</t>
        </is>
      </c>
    </row>
    <row r="45">
      <c r="A45" t="inlineStr">
        <is>
          <t>M0044</t>
        </is>
      </c>
      <c r="B45" t="inlineStr">
        <is>
          <t>오지훈</t>
        </is>
      </c>
      <c r="C45" t="inlineStr">
        <is>
          <t>남</t>
        </is>
      </c>
      <c r="D45" s="2" t="n">
        <v>46181</v>
      </c>
      <c r="E45" t="inlineStr">
        <is>
          <t>서울강남점</t>
        </is>
      </c>
      <c r="F45" s="3" t="n">
        <v>945200</v>
      </c>
      <c r="G45" t="inlineStr">
        <is>
          <t>참기름 선물세트</t>
        </is>
      </c>
    </row>
    <row r="46">
      <c r="A46" t="inlineStr">
        <is>
          <t>M0045</t>
        </is>
      </c>
      <c r="B46" t="inlineStr">
        <is>
          <t>김준영</t>
        </is>
      </c>
      <c r="C46" t="inlineStr">
        <is>
          <t>남</t>
        </is>
      </c>
      <c r="D46" s="2" t="n">
        <v>46085</v>
      </c>
      <c r="E46" t="inlineStr">
        <is>
          <t>대전둔산점</t>
        </is>
      </c>
      <c r="F46" s="3" t="n">
        <v>893400</v>
      </c>
      <c r="G46" t="inlineStr">
        <is>
          <t>견과류 믹스 1kg</t>
        </is>
      </c>
    </row>
    <row r="47">
      <c r="A47" t="inlineStr">
        <is>
          <t>M0046</t>
        </is>
      </c>
      <c r="B47" t="inlineStr">
        <is>
          <t>김나윤</t>
        </is>
      </c>
      <c r="C47" t="inlineStr">
        <is>
          <t>남</t>
        </is>
      </c>
      <c r="D47" s="2" t="n">
        <v>46060</v>
      </c>
      <c r="E47" t="inlineStr">
        <is>
          <t>세종보람점</t>
        </is>
      </c>
      <c r="F47" s="3" t="n">
        <v>1081500</v>
      </c>
      <c r="G47" t="inlineStr">
        <is>
          <t>유기농 김 세트</t>
        </is>
      </c>
    </row>
    <row r="48">
      <c r="A48" t="inlineStr">
        <is>
          <t>M0047</t>
        </is>
      </c>
      <c r="B48" t="inlineStr">
        <is>
          <t>오태양</t>
        </is>
      </c>
      <c r="C48" t="inlineStr">
        <is>
          <t>여</t>
        </is>
      </c>
      <c r="D48" s="2" t="n">
        <v>46041</v>
      </c>
      <c r="E48" t="inlineStr">
        <is>
          <t>세종보람점</t>
        </is>
      </c>
      <c r="F48" s="3" t="n">
        <v>1121100</v>
      </c>
      <c r="G48" t="inlineStr">
        <is>
          <t>참기름 선물세트</t>
        </is>
      </c>
    </row>
    <row r="49">
      <c r="A49" t="inlineStr">
        <is>
          <t>M0048</t>
        </is>
      </c>
      <c r="B49" t="inlineStr">
        <is>
          <t>최서연</t>
        </is>
      </c>
      <c r="C49" t="inlineStr">
        <is>
          <t>여</t>
        </is>
      </c>
      <c r="D49" s="2" t="n">
        <v>46246</v>
      </c>
      <c r="E49" t="inlineStr">
        <is>
          <t>청주가경점</t>
        </is>
      </c>
      <c r="F49" s="3" t="n">
        <v>571800</v>
      </c>
      <c r="G49" t="inlineStr">
        <is>
          <t>냉동만두 1.2kg</t>
        </is>
      </c>
    </row>
    <row r="50">
      <c r="A50" t="inlineStr">
        <is>
          <t>M0049</t>
        </is>
      </c>
      <c r="B50" t="inlineStr">
        <is>
          <t>권유진</t>
        </is>
      </c>
      <c r="C50" t="inlineStr">
        <is>
          <t>남</t>
        </is>
      </c>
      <c r="D50" s="2" t="n">
        <v>46041</v>
      </c>
      <c r="E50" t="inlineStr">
        <is>
          <t>청주가경점</t>
        </is>
      </c>
      <c r="F50" s="3" t="n">
        <v>785400</v>
      </c>
      <c r="G50" t="inlineStr">
        <is>
          <t>한우육포 200g</t>
        </is>
      </c>
    </row>
    <row r="51">
      <c r="A51" t="inlineStr">
        <is>
          <t>M0050</t>
        </is>
      </c>
      <c r="B51" t="inlineStr">
        <is>
          <t>최유진</t>
        </is>
      </c>
      <c r="C51" t="inlineStr">
        <is>
          <t>남</t>
        </is>
      </c>
      <c r="D51" s="2" t="n">
        <v>46191</v>
      </c>
      <c r="E51" t="inlineStr">
        <is>
          <t>서울강남점</t>
        </is>
      </c>
      <c r="F51" s="3" t="n">
        <v>1099900</v>
      </c>
      <c r="G51" t="inlineStr">
        <is>
          <t>견과류 믹스 1kg</t>
        </is>
      </c>
    </row>
    <row r="52">
      <c r="A52" t="inlineStr">
        <is>
          <t>M0051</t>
        </is>
      </c>
      <c r="B52" t="inlineStr">
        <is>
          <t>이나윤</t>
        </is>
      </c>
      <c r="C52" t="inlineStr">
        <is>
          <t>여</t>
        </is>
      </c>
      <c r="D52" s="2" t="n">
        <v>46041</v>
      </c>
      <c r="E52" t="inlineStr">
        <is>
          <t>세종보람점</t>
        </is>
      </c>
      <c r="F52" s="3" t="n">
        <v>335200</v>
      </c>
      <c r="G52" t="inlineStr">
        <is>
          <t>냉동만두 1.2kg</t>
        </is>
      </c>
    </row>
    <row r="53">
      <c r="A53" t="inlineStr">
        <is>
          <t>M0052</t>
        </is>
      </c>
      <c r="B53" t="inlineStr">
        <is>
          <t>윤미나</t>
        </is>
      </c>
      <c r="C53" t="inlineStr">
        <is>
          <t>남</t>
        </is>
      </c>
      <c r="D53" s="2" t="n">
        <v>46133</v>
      </c>
      <c r="E53" t="inlineStr">
        <is>
          <t>대전둔산점</t>
        </is>
      </c>
      <c r="F53" s="3" t="n">
        <v>731500</v>
      </c>
      <c r="G53" t="inlineStr">
        <is>
          <t>전통 조청 500g</t>
        </is>
      </c>
    </row>
    <row r="54">
      <c r="A54" t="inlineStr">
        <is>
          <t>M0053</t>
        </is>
      </c>
      <c r="B54" t="inlineStr">
        <is>
          <t>장현우</t>
        </is>
      </c>
      <c r="C54" t="inlineStr">
        <is>
          <t>여</t>
        </is>
      </c>
      <c r="D54" s="2" t="n">
        <v>46212</v>
      </c>
      <c r="E54" t="inlineStr">
        <is>
          <t>세종보람점</t>
        </is>
      </c>
      <c r="F54" s="3" t="n">
        <v>1108900</v>
      </c>
      <c r="G54" t="inlineStr">
        <is>
          <t>한우육포 200g</t>
        </is>
      </c>
    </row>
    <row r="55">
      <c r="A55" t="inlineStr">
        <is>
          <t>M0054</t>
        </is>
      </c>
      <c r="B55" t="inlineStr">
        <is>
          <t>신예린</t>
        </is>
      </c>
      <c r="C55" t="inlineStr">
        <is>
          <t>여</t>
        </is>
      </c>
      <c r="D55" s="2" t="n">
        <v>46281</v>
      </c>
      <c r="E55" t="inlineStr">
        <is>
          <t>세종보람점</t>
        </is>
      </c>
      <c r="F55" s="3" t="n">
        <v>1159300</v>
      </c>
      <c r="G55" t="inlineStr">
        <is>
          <t>견과류 믹스 1kg</t>
        </is>
      </c>
    </row>
    <row r="56">
      <c r="A56" t="inlineStr">
        <is>
          <t>M0055</t>
        </is>
      </c>
      <c r="B56" t="inlineStr">
        <is>
          <t>권수빈</t>
        </is>
      </c>
      <c r="C56" t="inlineStr">
        <is>
          <t>여</t>
        </is>
      </c>
      <c r="D56" s="2" t="n">
        <v>46241</v>
      </c>
      <c r="E56" t="inlineStr">
        <is>
          <t>대전둔산점</t>
        </is>
      </c>
      <c r="F56" s="3" t="n">
        <v>971600</v>
      </c>
      <c r="G56" t="inlineStr">
        <is>
          <t>전통 조청 500g</t>
        </is>
      </c>
    </row>
    <row r="57">
      <c r="A57" t="inlineStr">
        <is>
          <t>M0056</t>
        </is>
      </c>
      <c r="B57" t="inlineStr">
        <is>
          <t>강미나</t>
        </is>
      </c>
      <c r="C57" t="inlineStr">
        <is>
          <t>남</t>
        </is>
      </c>
      <c r="D57" s="2" t="n">
        <v>46195</v>
      </c>
      <c r="E57" t="inlineStr">
        <is>
          <t>서울강남점</t>
        </is>
      </c>
      <c r="F57" s="3" t="n">
        <v>463600</v>
      </c>
      <c r="G57" t="inlineStr">
        <is>
          <t>참기름 선물세트</t>
        </is>
      </c>
    </row>
    <row r="58">
      <c r="A58" t="inlineStr">
        <is>
          <t>M0057</t>
        </is>
      </c>
      <c r="B58" t="inlineStr">
        <is>
          <t>서준영</t>
        </is>
      </c>
      <c r="C58" t="inlineStr">
        <is>
          <t>여</t>
        </is>
      </c>
      <c r="D58" s="2" t="n">
        <v>46318</v>
      </c>
      <c r="E58" t="inlineStr">
        <is>
          <t>서울강남점</t>
        </is>
      </c>
      <c r="F58" s="3" t="n">
        <v>1005400</v>
      </c>
      <c r="G58" t="inlineStr">
        <is>
          <t>유기농 김 세트</t>
        </is>
      </c>
    </row>
    <row r="59">
      <c r="A59" t="inlineStr">
        <is>
          <t>M0058</t>
        </is>
      </c>
      <c r="B59" t="inlineStr">
        <is>
          <t>서태양</t>
        </is>
      </c>
      <c r="C59" t="inlineStr">
        <is>
          <t>남</t>
        </is>
      </c>
      <c r="D59" s="2" t="n">
        <v>46027</v>
      </c>
      <c r="E59" t="inlineStr">
        <is>
          <t>대전둔산점</t>
        </is>
      </c>
      <c r="F59" s="3" t="n">
        <v>153100</v>
      </c>
      <c r="G59" t="inlineStr">
        <is>
          <t>유기농 김 세트</t>
        </is>
      </c>
    </row>
    <row r="60">
      <c r="A60" t="inlineStr">
        <is>
          <t>M0059</t>
        </is>
      </c>
      <c r="B60" t="inlineStr">
        <is>
          <t>박유진</t>
        </is>
      </c>
      <c r="C60" t="inlineStr">
        <is>
          <t>여</t>
        </is>
      </c>
      <c r="D60" s="2" t="n">
        <v>46100</v>
      </c>
      <c r="E60" t="inlineStr">
        <is>
          <t>청주가경점</t>
        </is>
      </c>
      <c r="F60" s="3" t="n">
        <v>430500</v>
      </c>
      <c r="G60" t="inlineStr">
        <is>
          <t>유기농 김 세트</t>
        </is>
      </c>
    </row>
    <row r="61">
      <c r="A61" t="inlineStr">
        <is>
          <t>M0060</t>
        </is>
      </c>
      <c r="B61" t="inlineStr">
        <is>
          <t>정현우</t>
        </is>
      </c>
      <c r="C61" t="inlineStr">
        <is>
          <t>여</t>
        </is>
      </c>
      <c r="D61" s="2" t="n">
        <v>46243</v>
      </c>
      <c r="E61" t="inlineStr">
        <is>
          <t>대전둔산점</t>
        </is>
      </c>
      <c r="F61" s="3" t="n">
        <v>1159700</v>
      </c>
      <c r="G61" t="inlineStr">
        <is>
          <t>냉동만두 1.2kg</t>
        </is>
      </c>
    </row>
    <row r="62">
      <c r="A62" t="inlineStr">
        <is>
          <t>M0061</t>
        </is>
      </c>
      <c r="B62" t="inlineStr">
        <is>
          <t>조소율</t>
        </is>
      </c>
      <c r="C62" t="inlineStr">
        <is>
          <t>남</t>
        </is>
      </c>
      <c r="D62" s="2" t="n">
        <v>46300</v>
      </c>
      <c r="E62" t="inlineStr">
        <is>
          <t>서울강남점</t>
        </is>
      </c>
      <c r="F62" s="3" t="n">
        <v>465800</v>
      </c>
      <c r="G62" t="inlineStr">
        <is>
          <t>유기농 김 세트</t>
        </is>
      </c>
    </row>
    <row r="63">
      <c r="A63" t="inlineStr">
        <is>
          <t>M0062</t>
        </is>
      </c>
      <c r="B63" t="inlineStr">
        <is>
          <t>권현우</t>
        </is>
      </c>
      <c r="C63" t="inlineStr">
        <is>
          <t>여</t>
        </is>
      </c>
      <c r="D63" s="2" t="n">
        <v>46121</v>
      </c>
      <c r="E63" t="inlineStr">
        <is>
          <t>서울강남점</t>
        </is>
      </c>
      <c r="F63" s="3" t="n">
        <v>572600</v>
      </c>
      <c r="G63" t="inlineStr">
        <is>
          <t>한우육포 200g</t>
        </is>
      </c>
    </row>
    <row r="64">
      <c r="A64" t="inlineStr">
        <is>
          <t>M0063</t>
        </is>
      </c>
      <c r="B64" t="inlineStr">
        <is>
          <t>윤재현</t>
        </is>
      </c>
      <c r="C64" t="inlineStr">
        <is>
          <t>여</t>
        </is>
      </c>
      <c r="D64" s="2" t="n">
        <v>46027</v>
      </c>
      <c r="E64" t="inlineStr">
        <is>
          <t>세종보람점</t>
        </is>
      </c>
      <c r="F64" s="3" t="n">
        <v>950900</v>
      </c>
      <c r="G64" t="inlineStr">
        <is>
          <t>전통 조청 500g</t>
        </is>
      </c>
    </row>
    <row r="65">
      <c r="A65" t="inlineStr">
        <is>
          <t>M0064</t>
        </is>
      </c>
      <c r="B65" t="inlineStr">
        <is>
          <t>권성민</t>
        </is>
      </c>
      <c r="C65" t="inlineStr">
        <is>
          <t>남</t>
        </is>
      </c>
      <c r="D65" s="2" t="n">
        <v>46292</v>
      </c>
      <c r="E65" t="inlineStr">
        <is>
          <t>세종보람점</t>
        </is>
      </c>
      <c r="F65" s="3" t="n">
        <v>870900</v>
      </c>
      <c r="G65" t="inlineStr">
        <is>
          <t>참기름 선물세트</t>
        </is>
      </c>
    </row>
    <row r="66">
      <c r="A66" t="inlineStr">
        <is>
          <t>M0065</t>
        </is>
      </c>
      <c r="B66" t="inlineStr">
        <is>
          <t>신소율</t>
        </is>
      </c>
      <c r="C66" t="inlineStr">
        <is>
          <t>남</t>
        </is>
      </c>
      <c r="D66" s="2" t="n">
        <v>46282</v>
      </c>
      <c r="E66" t="inlineStr">
        <is>
          <t>세종보람점</t>
        </is>
      </c>
      <c r="F66" s="3" t="n">
        <v>993000</v>
      </c>
      <c r="G66" t="inlineStr">
        <is>
          <t>견과류 믹스 1kg</t>
        </is>
      </c>
    </row>
    <row r="67">
      <c r="A67" t="inlineStr">
        <is>
          <t>M0066</t>
        </is>
      </c>
      <c r="B67" t="inlineStr">
        <is>
          <t>박지훈</t>
        </is>
      </c>
      <c r="C67" t="inlineStr">
        <is>
          <t>남</t>
        </is>
      </c>
      <c r="D67" s="2" t="n">
        <v>46149</v>
      </c>
      <c r="E67" t="inlineStr">
        <is>
          <t>서울강남점</t>
        </is>
      </c>
      <c r="F67" s="3" t="n">
        <v>638600</v>
      </c>
      <c r="G67" t="inlineStr">
        <is>
          <t>전통 조청 500g</t>
        </is>
      </c>
    </row>
    <row r="68">
      <c r="A68" t="inlineStr">
        <is>
          <t>M0067</t>
        </is>
      </c>
      <c r="B68" t="inlineStr">
        <is>
          <t>이현우</t>
        </is>
      </c>
      <c r="C68" t="inlineStr">
        <is>
          <t>여</t>
        </is>
      </c>
      <c r="D68" s="2" t="n">
        <v>46176</v>
      </c>
      <c r="E68" t="inlineStr">
        <is>
          <t>청주가경점</t>
        </is>
      </c>
      <c r="F68" s="3" t="n">
        <v>807300</v>
      </c>
      <c r="G68" t="inlineStr">
        <is>
          <t>견과류 믹스 1kg</t>
        </is>
      </c>
    </row>
    <row r="69">
      <c r="A69" t="inlineStr">
        <is>
          <t>M0068</t>
        </is>
      </c>
      <c r="B69" t="inlineStr">
        <is>
          <t>장하은</t>
        </is>
      </c>
      <c r="C69" t="inlineStr">
        <is>
          <t>남</t>
        </is>
      </c>
      <c r="D69" s="2" t="n">
        <v>46314</v>
      </c>
      <c r="E69" t="inlineStr">
        <is>
          <t>서울강남점</t>
        </is>
      </c>
      <c r="F69" s="3" t="n">
        <v>805200</v>
      </c>
      <c r="G69" t="inlineStr">
        <is>
          <t>한우육포 200g</t>
        </is>
      </c>
    </row>
    <row r="70">
      <c r="A70" t="inlineStr">
        <is>
          <t>M0069</t>
        </is>
      </c>
      <c r="B70" t="inlineStr">
        <is>
          <t>박경수</t>
        </is>
      </c>
      <c r="C70" t="inlineStr">
        <is>
          <t>남</t>
        </is>
      </c>
      <c r="D70" s="2" t="n">
        <v>46077</v>
      </c>
      <c r="E70" t="inlineStr">
        <is>
          <t>청주가경점</t>
        </is>
      </c>
      <c r="F70" s="3" t="n">
        <v>216800</v>
      </c>
      <c r="G70" t="inlineStr">
        <is>
          <t>유기농 김 세트</t>
        </is>
      </c>
    </row>
    <row r="71">
      <c r="A71" t="inlineStr">
        <is>
          <t>M0070</t>
        </is>
      </c>
      <c r="B71" t="inlineStr">
        <is>
          <t>오재현</t>
        </is>
      </c>
      <c r="C71" t="inlineStr">
        <is>
          <t>남</t>
        </is>
      </c>
      <c r="D71" s="2" t="n">
        <v>46079</v>
      </c>
      <c r="E71" t="inlineStr">
        <is>
          <t>청주가경점</t>
        </is>
      </c>
      <c r="F71" s="3" t="n">
        <v>942500</v>
      </c>
      <c r="G71" t="inlineStr">
        <is>
          <t>한우육포 200g</t>
        </is>
      </c>
    </row>
    <row r="72">
      <c r="A72" t="inlineStr">
        <is>
          <t>M0071</t>
        </is>
      </c>
      <c r="B72" t="inlineStr">
        <is>
          <t>장준영</t>
        </is>
      </c>
      <c r="C72" t="inlineStr">
        <is>
          <t>여</t>
        </is>
      </c>
      <c r="D72" s="2" t="n">
        <v>46302</v>
      </c>
      <c r="E72" t="inlineStr">
        <is>
          <t>세종보람점</t>
        </is>
      </c>
      <c r="F72" s="3" t="n">
        <v>911300</v>
      </c>
      <c r="G72" t="inlineStr">
        <is>
          <t>한우육포 200g</t>
        </is>
      </c>
    </row>
    <row r="73">
      <c r="A73" t="inlineStr">
        <is>
          <t>M0072</t>
        </is>
      </c>
      <c r="B73" t="inlineStr">
        <is>
          <t>서소율</t>
        </is>
      </c>
      <c r="C73" t="inlineStr">
        <is>
          <t>남</t>
        </is>
      </c>
      <c r="D73" s="2" t="n">
        <v>46243</v>
      </c>
      <c r="E73" t="inlineStr">
        <is>
          <t>청주가경점</t>
        </is>
      </c>
      <c r="F73" s="3" t="n">
        <v>350100</v>
      </c>
      <c r="G73" t="inlineStr">
        <is>
          <t>참기름 선물세트</t>
        </is>
      </c>
    </row>
    <row r="74">
      <c r="A74" t="inlineStr">
        <is>
          <t>M0009</t>
        </is>
      </c>
      <c r="B74" t="inlineStr">
        <is>
          <t>장재현</t>
        </is>
      </c>
      <c r="C74" t="inlineStr">
        <is>
          <t>남</t>
        </is>
      </c>
      <c r="D74" s="2" t="n">
        <v>46093</v>
      </c>
      <c r="E74" t="inlineStr">
        <is>
          <t>세종보람점</t>
        </is>
      </c>
      <c r="F74" s="3" t="n">
        <v>565300</v>
      </c>
      <c r="G74" t="inlineStr">
        <is>
          <t>전통 조청 500g</t>
        </is>
      </c>
    </row>
    <row r="75">
      <c r="A75" t="inlineStr">
        <is>
          <t>M0034</t>
        </is>
      </c>
      <c r="B75" t="inlineStr">
        <is>
          <t>임성민</t>
        </is>
      </c>
      <c r="C75" t="inlineStr">
        <is>
          <t>남</t>
        </is>
      </c>
      <c r="D75" s="2" t="n">
        <v>46083</v>
      </c>
      <c r="E75" t="inlineStr">
        <is>
          <t>대전둔산점</t>
        </is>
      </c>
      <c r="F75" s="3" t="n">
        <v>220800</v>
      </c>
      <c r="G75" t="inlineStr">
        <is>
          <t>견과류 믹스 1kg</t>
        </is>
      </c>
    </row>
    <row r="76">
      <c r="A76" t="inlineStr">
        <is>
          <t>M0082</t>
        </is>
      </c>
      <c r="B76" t="inlineStr">
        <is>
          <t>김나윤</t>
        </is>
      </c>
      <c r="C76" t="inlineStr">
        <is>
          <t>여</t>
        </is>
      </c>
      <c r="D76" s="2" t="n">
        <v>46226</v>
      </c>
      <c r="E76" t="inlineStr">
        <is>
          <t>청주가경점</t>
        </is>
      </c>
      <c r="F76" s="3" t="n">
        <v>526900</v>
      </c>
      <c r="G76" t="inlineStr">
        <is>
          <t>견과류 믹스 1kg</t>
        </is>
      </c>
    </row>
    <row r="77">
      <c r="A77" t="inlineStr">
        <is>
          <t>M0083</t>
        </is>
      </c>
      <c r="B77" t="inlineStr">
        <is>
          <t>최서연</t>
        </is>
      </c>
      <c r="C77" t="inlineStr">
        <is>
          <t>여</t>
        </is>
      </c>
      <c r="D77" s="2" t="n">
        <v>46246</v>
      </c>
      <c r="E77" t="inlineStr">
        <is>
          <t>청주가경점</t>
        </is>
      </c>
      <c r="F77" s="3" t="n">
        <v>571800</v>
      </c>
      <c r="G77" t="inlineStr">
        <is>
          <t>냉동만두 1.2kg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45" customWidth="1" min="3" max="3"/>
  </cols>
  <sheetData>
    <row r="1">
      <c r="A1" s="4" t="inlineStr">
        <is>
          <t>주의: 아래 수식은 실행되는 수식이 아니라 '안내 텍스트'입니다 (구버전 호환을 위해 UNIQUE 등은 파일에 직접 넣지 않음)</t>
        </is>
      </c>
    </row>
    <row r="3">
      <c r="A3" s="5" t="inlineStr">
        <is>
          <t>문제</t>
        </is>
      </c>
      <c r="B3" s="5" t="inlineStr">
        <is>
          <t>신버전(2021·365)</t>
        </is>
      </c>
      <c r="C3" s="5" t="inlineStr">
        <is>
          <t>구버전(2016 이하)</t>
        </is>
      </c>
    </row>
    <row r="4">
      <c r="A4" s="6" t="inlineStr">
        <is>
          <t>① 성별 8종 → 남/여 통일</t>
        </is>
      </c>
      <c r="B4" s="6">
        <f>IFS(OR(C2="여자",C2="여",C2="F",C2="f",C2="여성"),"여",OR(C2="남자",C2="남",C2="M"),"남",TRUE,"확인필요")</f>
        <v/>
      </c>
      <c r="C4" s="6">
        <f>IF(OR(C2="여자",C2="여",C2="F",C2="f",C2="여성"),"여",IF(OR(C2="남자",C2="남",C2="M"),"남","확인필요"))</f>
        <v/>
      </c>
    </row>
    <row r="5">
      <c r="A5" s="6" t="inlineStr">
        <is>
          <t>② 가입일 4종 → 진짜 날짜값</t>
        </is>
      </c>
      <c r="B5" s="6">
        <f>DATEVALUE(SUBSTITUTE(SUBSTITUTE(D2,".","-"),"/","-")) 등 형식별 분기 필요, 최종 확인은 =UNIQUE(결과열)</f>
        <v/>
      </c>
      <c r="C5" s="6" t="inlineStr">
        <is>
          <t>데이터 → 텍스트 나누기(구분기호/기타) 또는 함수로 형식별 분기 후 날짜로 변환</t>
        </is>
      </c>
    </row>
    <row r="6">
      <c r="A6" s="6" t="inlineStr">
        <is>
          <t>③ 숨은 공백 확인</t>
        </is>
      </c>
      <c r="B6" s="6">
        <f>LEN(F2) 로 글자수를 비교 → TRIM/CLEAN/SUBSTITUTE(,CHAR(160),"")로 제거</f>
        <v/>
      </c>
      <c r="C6" s="6" t="inlineStr">
        <is>
          <t>동일(LEN·TRIM·CLEAN은 구버전에서도 사용 가능)</t>
        </is>
      </c>
    </row>
    <row r="7">
      <c r="A7" s="6" t="inlineStr">
        <is>
          <t>고유값 검산(공통)</t>
        </is>
      </c>
      <c r="B7" s="6">
        <f>UNIQUE(정리결과열) → 결과가 몇 개로 줄었는지 확인</f>
        <v/>
      </c>
      <c r="C7" s="6" t="inlineStr">
        <is>
          <t>복사본에서 데이터 → 중복된 항목 제거, 또는 피벗 행 영역에 끌어넣어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2026-10-25T23:45:01Z</dcterms:created>
  <dcterms:modified xmlns:dcterms="http://purl.org/dc/terms/" xmlns:xsi="http://www.w3.org/2001/XMLSchema-instance" xsi:type="dcterms:W3CDTF">2026-10-25T23:45:01Z</dcterms:modified>
</cp:coreProperties>
</file>